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m\Documents\Desarrollos\Github\Wurlitzer\"/>
    </mc:Choice>
  </mc:AlternateContent>
  <bookViews>
    <workbookView xWindow="0" yWindow="0" windowWidth="19200" windowHeight="8385"/>
  </bookViews>
  <sheets>
    <sheet name="Hoja1" sheetId="1" r:id="rId1"/>
  </sheets>
  <functionGroups builtInGroupCount="18"/>
  <definedNames>
    <definedName name="comandos">Hoja1!$A$3:$E$10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" l="1"/>
  <c r="I7" i="1"/>
  <c r="G5" i="1" s="1"/>
  <c r="E15" i="1" s="1"/>
  <c r="I8" i="1"/>
  <c r="I9" i="1"/>
  <c r="I10" i="1"/>
  <c r="I11" i="1"/>
  <c r="I12" i="1"/>
  <c r="I13" i="1"/>
  <c r="I14" i="1"/>
  <c r="I15" i="1"/>
  <c r="I16" i="1"/>
  <c r="I17" i="1"/>
  <c r="I6" i="1"/>
  <c r="G4" i="1" s="1"/>
  <c r="E4" i="1"/>
  <c r="E5" i="1"/>
  <c r="E6" i="1"/>
  <c r="E7" i="1"/>
  <c r="E8" i="1"/>
  <c r="E9" i="1"/>
  <c r="E10" i="1"/>
  <c r="E3" i="1"/>
  <c r="I4" i="1"/>
  <c r="I5" i="1" l="1"/>
</calcChain>
</file>

<file path=xl/comments1.xml><?xml version="1.0" encoding="utf-8"?>
<comments xmlns="http://schemas.openxmlformats.org/spreadsheetml/2006/main">
  <authors>
    <author>José Ossa</author>
  </authors>
  <commentList>
    <comment ref="A3" authorId="0" shapeId="0">
      <text>
        <r>
          <rPr>
            <b/>
            <sz val="9"/>
            <color indexed="81"/>
            <rFont val="Tahoma"/>
            <charset val="1"/>
          </rPr>
          <t>José Ossa:</t>
        </r>
        <r>
          <rPr>
            <sz val="9"/>
            <color indexed="81"/>
            <rFont val="Tahoma"/>
            <charset val="1"/>
          </rPr>
          <t xml:space="preserve">
Servos 0-31
En el Arduino se multiplica por 8</t>
        </r>
      </text>
    </comment>
    <comment ref="A8" authorId="0" shapeId="0">
      <text>
        <r>
          <rPr>
            <b/>
            <sz val="9"/>
            <color indexed="81"/>
            <rFont val="Tahoma"/>
            <charset val="1"/>
          </rPr>
          <t>José Ossa:</t>
        </r>
        <r>
          <rPr>
            <sz val="9"/>
            <color indexed="81"/>
            <rFont val="Tahoma"/>
            <charset val="1"/>
          </rPr>
          <t xml:space="preserve">
Indica que modo o secuencia se ejecuta
</t>
        </r>
      </text>
    </comment>
    <comment ref="A10" authorId="0" shapeId="0">
      <text>
        <r>
          <rPr>
            <b/>
            <sz val="9"/>
            <color indexed="81"/>
            <rFont val="Tahoma"/>
            <charset val="1"/>
          </rPr>
          <t>José Ossa:</t>
        </r>
        <r>
          <rPr>
            <sz val="9"/>
            <color indexed="81"/>
            <rFont val="Tahoma"/>
            <charset val="1"/>
          </rPr>
          <t xml:space="preserve">
Indica las bandas blancas siendo:
111x:xbbe.
bb=la banda
e=Estado de la luz
</t>
        </r>
      </text>
    </comment>
  </commentList>
</comments>
</file>

<file path=xl/sharedStrings.xml><?xml version="1.0" encoding="utf-8"?>
<sst xmlns="http://schemas.openxmlformats.org/spreadsheetml/2006/main" count="24" uniqueCount="12">
  <si>
    <t>Comandos</t>
  </si>
  <si>
    <t>S1</t>
  </si>
  <si>
    <t>S2</t>
  </si>
  <si>
    <t>Sleep</t>
  </si>
  <si>
    <t>Fin</t>
  </si>
  <si>
    <t>rgb1</t>
  </si>
  <si>
    <t>rbg2</t>
  </si>
  <si>
    <t>111x:xxxx</t>
  </si>
  <si>
    <t>bl</t>
  </si>
  <si>
    <t>Rewind</t>
  </si>
  <si>
    <t>Cambio Disco</t>
  </si>
  <si>
    <t>Secuencias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</si>
</sst>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I17"/>
  <sheetViews>
    <sheetView tabSelected="1" workbookViewId="0">
      <selection activeCell="A16" sqref="A16"/>
    </sheetView>
  </sheetViews>
  <sheetFormatPr baseColWidth="10" defaultRowHeight="15" x14ac:dyDescent="0.25"/>
  <cols>
    <col min="2" max="4" width="2.5703125" customWidth="1"/>
  </cols>
  <sheetData>
    <row r="2" spans="1:9" x14ac:dyDescent="0.25">
      <c r="A2" t="s">
        <v>0</v>
      </c>
      <c r="B2" t="s">
        <v>7</v>
      </c>
    </row>
    <row r="3" spans="1:9" x14ac:dyDescent="0.25">
      <c r="A3" t="s">
        <v>1</v>
      </c>
      <c r="B3">
        <v>0</v>
      </c>
      <c r="C3">
        <v>0</v>
      </c>
      <c r="D3">
        <v>0</v>
      </c>
      <c r="E3">
        <f>B3*128+C3*64+D3*32</f>
        <v>0</v>
      </c>
      <c r="G3" s="1" t="s">
        <v>10</v>
      </c>
      <c r="H3" s="1"/>
      <c r="I3" s="1"/>
    </row>
    <row r="4" spans="1:9" x14ac:dyDescent="0.25">
      <c r="A4" t="s">
        <v>2</v>
      </c>
      <c r="B4">
        <v>0</v>
      </c>
      <c r="C4">
        <v>0</v>
      </c>
      <c r="D4">
        <v>1</v>
      </c>
      <c r="E4">
        <f t="shared" ref="E4:E10" si="0">B4*128+C4*64+D4*32</f>
        <v>32</v>
      </c>
      <c r="G4">
        <f>149-COUNT(I6:I200)</f>
        <v>137</v>
      </c>
      <c r="I4" t="str">
        <f>Concat1(I6:I154,",")</f>
        <v>0,67,6,67,12,67,18,67,24,67,31,96,,,,,,,,,,,,,,,,,,,,,,,,,,,,,,,,,,,,,,,,,,,,,,,,,,,,,,,,,,,,,,,,,,,,,,,,,,,,,,,,,,,,,,,,,,,,,,,,,,,,,,,,,,,,,,,,,,,,,,,,,,,,,,,,,,,,,,,,,</v>
      </c>
    </row>
    <row r="5" spans="1:9" x14ac:dyDescent="0.25">
      <c r="A5" t="s">
        <v>3</v>
      </c>
      <c r="B5">
        <v>0</v>
      </c>
      <c r="C5">
        <v>1</v>
      </c>
      <c r="D5">
        <v>0</v>
      </c>
      <c r="E5">
        <f t="shared" si="0"/>
        <v>64</v>
      </c>
      <c r="G5">
        <f>COUNT(I6:I150)</f>
        <v>12</v>
      </c>
      <c r="I5" t="str">
        <f>LEFT(I4,LEN(I4)-G4)</f>
        <v>0,67,6,67,12,67,18,67,24,67,31,96</v>
      </c>
    </row>
    <row r="6" spans="1:9" x14ac:dyDescent="0.25">
      <c r="A6" t="s">
        <v>4</v>
      </c>
      <c r="B6">
        <v>0</v>
      </c>
      <c r="C6">
        <v>1</v>
      </c>
      <c r="D6">
        <v>1</v>
      </c>
      <c r="E6">
        <f t="shared" si="0"/>
        <v>96</v>
      </c>
      <c r="G6" t="s">
        <v>1</v>
      </c>
      <c r="H6">
        <v>0</v>
      </c>
      <c r="I6">
        <f>VLOOKUP(G6,comandos,5,FALSE)+H6</f>
        <v>0</v>
      </c>
    </row>
    <row r="7" spans="1:9" x14ac:dyDescent="0.25">
      <c r="A7" t="s">
        <v>9</v>
      </c>
      <c r="B7">
        <v>1</v>
      </c>
      <c r="C7">
        <v>0</v>
      </c>
      <c r="D7">
        <v>0</v>
      </c>
      <c r="E7">
        <f t="shared" si="0"/>
        <v>128</v>
      </c>
      <c r="G7" t="s">
        <v>3</v>
      </c>
      <c r="H7">
        <v>3</v>
      </c>
      <c r="I7">
        <f>VLOOKUP(G7,comandos,5,FALSE)+H7</f>
        <v>67</v>
      </c>
    </row>
    <row r="8" spans="1:9" x14ac:dyDescent="0.25">
      <c r="A8" t="s">
        <v>5</v>
      </c>
      <c r="B8">
        <v>1</v>
      </c>
      <c r="C8">
        <v>0</v>
      </c>
      <c r="D8">
        <v>1</v>
      </c>
      <c r="E8">
        <f t="shared" si="0"/>
        <v>160</v>
      </c>
      <c r="G8" t="s">
        <v>1</v>
      </c>
      <c r="H8">
        <v>6</v>
      </c>
      <c r="I8">
        <f>VLOOKUP(G8,comandos,5,FALSE)+H8</f>
        <v>6</v>
      </c>
    </row>
    <row r="9" spans="1:9" x14ac:dyDescent="0.25">
      <c r="A9" t="s">
        <v>6</v>
      </c>
      <c r="B9">
        <v>1</v>
      </c>
      <c r="C9">
        <v>1</v>
      </c>
      <c r="D9">
        <v>0</v>
      </c>
      <c r="E9">
        <f t="shared" si="0"/>
        <v>192</v>
      </c>
      <c r="G9" t="s">
        <v>3</v>
      </c>
      <c r="H9">
        <v>3</v>
      </c>
      <c r="I9">
        <f>VLOOKUP(G9,comandos,5,FALSE)+H9</f>
        <v>67</v>
      </c>
    </row>
    <row r="10" spans="1:9" x14ac:dyDescent="0.25">
      <c r="A10" t="s">
        <v>8</v>
      </c>
      <c r="B10">
        <v>1</v>
      </c>
      <c r="C10">
        <v>1</v>
      </c>
      <c r="D10">
        <v>1</v>
      </c>
      <c r="E10">
        <f t="shared" si="0"/>
        <v>224</v>
      </c>
      <c r="G10" t="s">
        <v>1</v>
      </c>
      <c r="H10">
        <v>12</v>
      </c>
      <c r="I10">
        <f>VLOOKUP(G10,comandos,5,FALSE)+H10</f>
        <v>12</v>
      </c>
    </row>
    <row r="11" spans="1:9" x14ac:dyDescent="0.25">
      <c r="G11" t="s">
        <v>3</v>
      </c>
      <c r="H11">
        <v>3</v>
      </c>
      <c r="I11">
        <f>VLOOKUP(G11,comandos,5,FALSE)+H11</f>
        <v>67</v>
      </c>
    </row>
    <row r="12" spans="1:9" x14ac:dyDescent="0.25">
      <c r="G12" t="s">
        <v>1</v>
      </c>
      <c r="H12">
        <v>18</v>
      </c>
      <c r="I12">
        <f>VLOOKUP(G12,comandos,5,FALSE)+H12</f>
        <v>18</v>
      </c>
    </row>
    <row r="13" spans="1:9" x14ac:dyDescent="0.25">
      <c r="A13" t="s">
        <v>11</v>
      </c>
      <c r="G13" t="s">
        <v>3</v>
      </c>
      <c r="H13">
        <v>3</v>
      </c>
      <c r="I13">
        <f>VLOOKUP(G13,comandos,5,FALSE)+H13</f>
        <v>67</v>
      </c>
    </row>
    <row r="14" spans="1:9" x14ac:dyDescent="0.25">
      <c r="A14" t="str">
        <f>G3</f>
        <v>Cambio Disco</v>
      </c>
      <c r="E14">
        <v>0</v>
      </c>
      <c r="G14" t="s">
        <v>1</v>
      </c>
      <c r="H14">
        <v>24</v>
      </c>
      <c r="I14">
        <f>VLOOKUP(G14,comandos,5,FALSE)+H14</f>
        <v>24</v>
      </c>
    </row>
    <row r="15" spans="1:9" x14ac:dyDescent="0.25">
      <c r="E15">
        <f>G5</f>
        <v>12</v>
      </c>
      <c r="G15" t="s">
        <v>3</v>
      </c>
      <c r="H15">
        <v>3</v>
      </c>
      <c r="I15">
        <f>VLOOKUP(G15,comandos,5,FALSE)+H15</f>
        <v>67</v>
      </c>
    </row>
    <row r="16" spans="1:9" x14ac:dyDescent="0.25">
      <c r="G16" t="s">
        <v>1</v>
      </c>
      <c r="H16">
        <v>31</v>
      </c>
      <c r="I16">
        <f>VLOOKUP(G16,comandos,5,FALSE)+H16</f>
        <v>31</v>
      </c>
    </row>
    <row r="17" spans="7:9" x14ac:dyDescent="0.25">
      <c r="G17" t="s">
        <v>4</v>
      </c>
      <c r="H17">
        <v>0</v>
      </c>
      <c r="I17">
        <f>VLOOKUP(G17,comandos,5,FALSE)+H17</f>
        <v>96</v>
      </c>
    </row>
  </sheetData>
  <mergeCells count="1">
    <mergeCell ref="G3:I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comandos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Ossa</dc:creator>
  <cp:lastModifiedBy>José Ossa</cp:lastModifiedBy>
  <dcterms:created xsi:type="dcterms:W3CDTF">2014-10-04T00:24:22Z</dcterms:created>
  <dcterms:modified xsi:type="dcterms:W3CDTF">2014-10-05T21:40:40Z</dcterms:modified>
</cp:coreProperties>
</file>